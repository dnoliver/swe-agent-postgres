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d/Git/swe-agent-postgres/experiments/03-04-2026-symcode-fail-analysis/"/>
    </mc:Choice>
  </mc:AlternateContent>
  <xr:revisionPtr revIDLastSave="0" documentId="8_{5525CDED-BFAC-B44C-A483-77758E2CD46E}" xr6:coauthVersionLast="47" xr6:coauthVersionMax="47" xr10:uidLastSave="{00000000-0000-0000-0000-000000000000}"/>
  <bookViews>
    <workbookView xWindow="0" yWindow="500" windowWidth="68800" windowHeight="26800" xr2:uid="{61010EC1-0FCC-0145-8324-A273BB9FD01F}"/>
  </bookViews>
  <sheets>
    <sheet name="Sheet1" sheetId="1" r:id="rId1"/>
  </sheets>
  <definedNames>
    <definedName name="_xlchart.v1.0" hidden="1">Sheet1!$B$1</definedName>
    <definedName name="_xlchart.v1.1" hidden="1">Sheet1!$B$2:$B$41</definedName>
    <definedName name="_xlchart.v1.10" hidden="1">Sheet1!$D$2:$D$42</definedName>
    <definedName name="_xlchart.v1.11" hidden="1">Sheet1!$B$1</definedName>
    <definedName name="_xlchart.v1.12" hidden="1">Sheet1!$B$2:$B$42</definedName>
    <definedName name="_xlchart.v1.13" hidden="1">Sheet1!$C$1</definedName>
    <definedName name="_xlchart.v1.14" hidden="1">Sheet1!$C$2:$C$42</definedName>
    <definedName name="_xlchart.v1.15" hidden="1">Sheet1!$D$1</definedName>
    <definedName name="_xlchart.v1.16" hidden="1">Sheet1!$D$2:$D$42</definedName>
    <definedName name="_xlchart.v1.17" hidden="1">Sheet1!$B$2:$B$42</definedName>
    <definedName name="_xlchart.v1.18" hidden="1">Sheet1!$B$1</definedName>
    <definedName name="_xlchart.v1.19" hidden="1">Sheet1!$B$2:$B$41</definedName>
    <definedName name="_xlchart.v1.2" hidden="1">Sheet1!$C$1</definedName>
    <definedName name="_xlchart.v1.20" hidden="1">Sheet1!$C$1</definedName>
    <definedName name="_xlchart.v1.21" hidden="1">Sheet1!$C$2:$C$41</definedName>
    <definedName name="_xlchart.v1.22" hidden="1">Sheet1!$D$1</definedName>
    <definedName name="_xlchart.v1.23" hidden="1">Sheet1!$D$2:$D$41</definedName>
    <definedName name="_xlchart.v1.3" hidden="1">Sheet1!$C$2:$C$41</definedName>
    <definedName name="_xlchart.v1.4" hidden="1">Sheet1!$D$1</definedName>
    <definedName name="_xlchart.v1.5" hidden="1">Sheet1!$D$2:$D$41</definedName>
    <definedName name="_xlchart.v1.6" hidden="1">Sheet1!$B$2:$B$42</definedName>
    <definedName name="_xlchart.v1.7" hidden="1">Sheet1!$B$2:$B$42</definedName>
    <definedName name="_xlchart.v1.8" hidden="1">Sheet1!$B$2:$B$42</definedName>
    <definedName name="_xlchart.v1.9" hidden="1">Sheet1!$C$2:$C$42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C43" i="1"/>
  <c r="B43" i="1"/>
  <c r="B42" i="1"/>
  <c r="C42" i="1"/>
  <c r="D2" i="1"/>
  <c r="D4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</calcChain>
</file>

<file path=xl/sharedStrings.xml><?xml version="1.0" encoding="utf-8"?>
<sst xmlns="http://schemas.openxmlformats.org/spreadsheetml/2006/main" count="6" uniqueCount="6">
  <si>
    <t>Experiment</t>
  </si>
  <si>
    <t>Completion Tokens</t>
  </si>
  <si>
    <t>Prompt Tokens</t>
  </si>
  <si>
    <t>Total Tokens</t>
  </si>
  <si>
    <t>Median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</si>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</sst>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Method Token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Prompt Tokens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Sheet1!$A$2:$A$41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cat>
          <c:val>
            <c:numRef>
              <c:f>Sheet1!$B$2:$B$41</c:f>
              <c:numCache>
                <c:formatCode>General</c:formatCode>
                <c:ptCount val="40"/>
                <c:pt idx="0">
                  <c:v>3577</c:v>
                </c:pt>
                <c:pt idx="1">
                  <c:v>3582</c:v>
                </c:pt>
                <c:pt idx="2">
                  <c:v>3583</c:v>
                </c:pt>
                <c:pt idx="3">
                  <c:v>3574</c:v>
                </c:pt>
                <c:pt idx="4">
                  <c:v>3577</c:v>
                </c:pt>
                <c:pt idx="5">
                  <c:v>3580</c:v>
                </c:pt>
                <c:pt idx="6">
                  <c:v>3583</c:v>
                </c:pt>
                <c:pt idx="7">
                  <c:v>3580</c:v>
                </c:pt>
                <c:pt idx="8">
                  <c:v>3578</c:v>
                </c:pt>
                <c:pt idx="9">
                  <c:v>3577</c:v>
                </c:pt>
                <c:pt idx="10">
                  <c:v>3574</c:v>
                </c:pt>
                <c:pt idx="11">
                  <c:v>3574</c:v>
                </c:pt>
                <c:pt idx="12">
                  <c:v>3574</c:v>
                </c:pt>
                <c:pt idx="13">
                  <c:v>3575</c:v>
                </c:pt>
                <c:pt idx="14">
                  <c:v>3577</c:v>
                </c:pt>
                <c:pt idx="15">
                  <c:v>3585</c:v>
                </c:pt>
                <c:pt idx="16">
                  <c:v>3580</c:v>
                </c:pt>
                <c:pt idx="17">
                  <c:v>3580</c:v>
                </c:pt>
                <c:pt idx="18">
                  <c:v>3575</c:v>
                </c:pt>
                <c:pt idx="19">
                  <c:v>3587</c:v>
                </c:pt>
                <c:pt idx="20">
                  <c:v>3580</c:v>
                </c:pt>
                <c:pt idx="21">
                  <c:v>3605</c:v>
                </c:pt>
                <c:pt idx="22">
                  <c:v>3580</c:v>
                </c:pt>
                <c:pt idx="23">
                  <c:v>3581</c:v>
                </c:pt>
                <c:pt idx="24">
                  <c:v>3579</c:v>
                </c:pt>
                <c:pt idx="25">
                  <c:v>3587</c:v>
                </c:pt>
                <c:pt idx="26">
                  <c:v>3583</c:v>
                </c:pt>
                <c:pt idx="27">
                  <c:v>3574</c:v>
                </c:pt>
                <c:pt idx="28">
                  <c:v>3577</c:v>
                </c:pt>
                <c:pt idx="29">
                  <c:v>3581</c:v>
                </c:pt>
                <c:pt idx="30">
                  <c:v>3585</c:v>
                </c:pt>
                <c:pt idx="31">
                  <c:v>3579</c:v>
                </c:pt>
                <c:pt idx="32">
                  <c:v>3576</c:v>
                </c:pt>
                <c:pt idx="33">
                  <c:v>3584</c:v>
                </c:pt>
                <c:pt idx="34">
                  <c:v>3577</c:v>
                </c:pt>
                <c:pt idx="35">
                  <c:v>3576</c:v>
                </c:pt>
                <c:pt idx="36">
                  <c:v>3584</c:v>
                </c:pt>
                <c:pt idx="37">
                  <c:v>3578</c:v>
                </c:pt>
                <c:pt idx="38">
                  <c:v>3576</c:v>
                </c:pt>
                <c:pt idx="39">
                  <c:v>3576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DF-8A48-B88E-E2A7BA0BA30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Completion Tokens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Sheet1!$A$2:$A$41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cat>
          <c:val>
            <c:numRef>
              <c:f>Sheet1!$C$2:$C$41</c:f>
              <c:numCache>
                <c:formatCode>General</c:formatCode>
                <c:ptCount val="40"/>
                <c:pt idx="0">
                  <c:v>2215</c:v>
                </c:pt>
                <c:pt idx="1">
                  <c:v>5655</c:v>
                </c:pt>
                <c:pt idx="2">
                  <c:v>2933</c:v>
                </c:pt>
                <c:pt idx="3">
                  <c:v>2111</c:v>
                </c:pt>
                <c:pt idx="4">
                  <c:v>2229</c:v>
                </c:pt>
                <c:pt idx="5">
                  <c:v>2053</c:v>
                </c:pt>
                <c:pt idx="6">
                  <c:v>1694</c:v>
                </c:pt>
                <c:pt idx="7">
                  <c:v>4156</c:v>
                </c:pt>
                <c:pt idx="8">
                  <c:v>2191</c:v>
                </c:pt>
                <c:pt idx="9">
                  <c:v>2108</c:v>
                </c:pt>
                <c:pt idx="10">
                  <c:v>2357</c:v>
                </c:pt>
                <c:pt idx="11">
                  <c:v>3398</c:v>
                </c:pt>
                <c:pt idx="12">
                  <c:v>2063</c:v>
                </c:pt>
                <c:pt idx="13">
                  <c:v>4382</c:v>
                </c:pt>
                <c:pt idx="14">
                  <c:v>1686</c:v>
                </c:pt>
                <c:pt idx="15">
                  <c:v>2482</c:v>
                </c:pt>
                <c:pt idx="16">
                  <c:v>2046</c:v>
                </c:pt>
                <c:pt idx="17">
                  <c:v>2101</c:v>
                </c:pt>
                <c:pt idx="18">
                  <c:v>2434</c:v>
                </c:pt>
                <c:pt idx="19">
                  <c:v>2640</c:v>
                </c:pt>
                <c:pt idx="20">
                  <c:v>2153</c:v>
                </c:pt>
                <c:pt idx="21">
                  <c:v>2010</c:v>
                </c:pt>
                <c:pt idx="22">
                  <c:v>2186</c:v>
                </c:pt>
                <c:pt idx="23">
                  <c:v>2602</c:v>
                </c:pt>
                <c:pt idx="24">
                  <c:v>2802</c:v>
                </c:pt>
                <c:pt idx="25">
                  <c:v>1649</c:v>
                </c:pt>
                <c:pt idx="26">
                  <c:v>2819</c:v>
                </c:pt>
                <c:pt idx="27">
                  <c:v>1540</c:v>
                </c:pt>
                <c:pt idx="28">
                  <c:v>2374</c:v>
                </c:pt>
                <c:pt idx="29">
                  <c:v>3348</c:v>
                </c:pt>
                <c:pt idx="30">
                  <c:v>3161</c:v>
                </c:pt>
                <c:pt idx="31">
                  <c:v>2036</c:v>
                </c:pt>
                <c:pt idx="32">
                  <c:v>2893</c:v>
                </c:pt>
                <c:pt idx="33">
                  <c:v>1916</c:v>
                </c:pt>
                <c:pt idx="34">
                  <c:v>2876</c:v>
                </c:pt>
                <c:pt idx="35">
                  <c:v>2200</c:v>
                </c:pt>
                <c:pt idx="36">
                  <c:v>2324</c:v>
                </c:pt>
                <c:pt idx="37">
                  <c:v>2586</c:v>
                </c:pt>
                <c:pt idx="38">
                  <c:v>2107</c:v>
                </c:pt>
                <c:pt idx="39">
                  <c:v>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DF-8A48-B88E-E2A7BA0BA30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Total Tokens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Sheet1!$A$2:$A$41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cat>
          <c:val>
            <c:numRef>
              <c:f>Sheet1!$D$2:$D$41</c:f>
              <c:numCache>
                <c:formatCode>General</c:formatCode>
                <c:ptCount val="40"/>
                <c:pt idx="0">
                  <c:v>5792</c:v>
                </c:pt>
                <c:pt idx="1">
                  <c:v>9237</c:v>
                </c:pt>
                <c:pt idx="2">
                  <c:v>6516</c:v>
                </c:pt>
                <c:pt idx="3">
                  <c:v>5685</c:v>
                </c:pt>
                <c:pt idx="4">
                  <c:v>5806</c:v>
                </c:pt>
                <c:pt idx="5">
                  <c:v>5633</c:v>
                </c:pt>
                <c:pt idx="6">
                  <c:v>5277</c:v>
                </c:pt>
                <c:pt idx="7">
                  <c:v>7736</c:v>
                </c:pt>
                <c:pt idx="8">
                  <c:v>5769</c:v>
                </c:pt>
                <c:pt idx="9">
                  <c:v>5685</c:v>
                </c:pt>
                <c:pt idx="10">
                  <c:v>5931</c:v>
                </c:pt>
                <c:pt idx="11">
                  <c:v>6972</c:v>
                </c:pt>
                <c:pt idx="12">
                  <c:v>5637</c:v>
                </c:pt>
                <c:pt idx="13">
                  <c:v>7957</c:v>
                </c:pt>
                <c:pt idx="14">
                  <c:v>5263</c:v>
                </c:pt>
                <c:pt idx="15">
                  <c:v>6067</c:v>
                </c:pt>
                <c:pt idx="16">
                  <c:v>5626</c:v>
                </c:pt>
                <c:pt idx="17">
                  <c:v>5681</c:v>
                </c:pt>
                <c:pt idx="18">
                  <c:v>6009</c:v>
                </c:pt>
                <c:pt idx="19">
                  <c:v>6227</c:v>
                </c:pt>
                <c:pt idx="20">
                  <c:v>5733</c:v>
                </c:pt>
                <c:pt idx="21">
                  <c:v>5615</c:v>
                </c:pt>
                <c:pt idx="22">
                  <c:v>5766</c:v>
                </c:pt>
                <c:pt idx="23">
                  <c:v>6183</c:v>
                </c:pt>
                <c:pt idx="24">
                  <c:v>6381</c:v>
                </c:pt>
                <c:pt idx="25">
                  <c:v>5236</c:v>
                </c:pt>
                <c:pt idx="26">
                  <c:v>6402</c:v>
                </c:pt>
                <c:pt idx="27">
                  <c:v>5114</c:v>
                </c:pt>
                <c:pt idx="28">
                  <c:v>5951</c:v>
                </c:pt>
                <c:pt idx="29">
                  <c:v>6929</c:v>
                </c:pt>
                <c:pt idx="30">
                  <c:v>6746</c:v>
                </c:pt>
                <c:pt idx="31">
                  <c:v>5615</c:v>
                </c:pt>
                <c:pt idx="32">
                  <c:v>6469</c:v>
                </c:pt>
                <c:pt idx="33">
                  <c:v>5500</c:v>
                </c:pt>
                <c:pt idx="34">
                  <c:v>6453</c:v>
                </c:pt>
                <c:pt idx="35">
                  <c:v>5776</c:v>
                </c:pt>
                <c:pt idx="36">
                  <c:v>5908</c:v>
                </c:pt>
                <c:pt idx="37">
                  <c:v>6164</c:v>
                </c:pt>
                <c:pt idx="38">
                  <c:v>5683</c:v>
                </c:pt>
                <c:pt idx="39">
                  <c:v>5599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DF-8A48-B88E-E2A7BA0BA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8938943"/>
        <c:axId val="2023204752"/>
      </c:lineChart>
      <c:catAx>
        <c:axId val="196893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204752"/>
        <c:crosses val="autoZero"/>
        <c:auto val="1"/>
        <c:lblAlgn val="ctr"/>
        <c:lblOffset val="100"/>
        <c:noMultiLvlLbl val="0"/>
      </c:catAx>
      <c:valAx>
        <c:axId val="202320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93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  <cx:data id="1">
      <cx:numDim type="val">
        <cx:f>_xlchart.v1.14</cx:f>
      </cx:numDim>
    </cx:data>
    <cx:data id="2">
      <cx:numDim type="val">
        <cx:f>_xlchart.v1.16</cx:f>
      </cx:numDim>
    </cx:data>
  </cx:chartData>
  <cx:chart>
    <cx:title pos="t" align="ctr" overlay="0">
      <cx:tx>
        <cx:txData>
          <cx:v>Token Usage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Token Usage Distribution</a:t>
          </a:r>
        </a:p>
      </cx:txPr>
    </cx:title>
    <cx:plotArea>
      <cx:plotAreaRegion>
        <cx:series layoutId="boxWhisker" uniqueId="{70645AA8-2B8D-4649-879A-83C58E88CC0E}">
          <cx:tx>
            <cx:txData>
              <cx:f>_xlchart.v1.11</cx:f>
              <cx:v>Prompt Tokens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7FA3CE7-6F08-DE41-B8F9-B76F9D50286D}">
          <cx:tx>
            <cx:txData>
              <cx:f>_xlchart.v1.13</cx:f>
              <cx:v>Completion Tokens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69501B3C-A3C0-C74A-9AB5-66AC0151CD78}">
          <cx:tx>
            <cx:txData>
              <cx:f>_xlchart.v1.15</cx:f>
              <cx:v>Total Tokens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12700</xdr:rowOff>
    </xdr:from>
    <xdr:to>
      <xdr:col>12</xdr:col>
      <xdr:colOff>0</xdr:colOff>
      <xdr:row>19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AD93C1-8A07-57CF-318C-74A23F19C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</xdr:colOff>
      <xdr:row>20</xdr:row>
      <xdr:rowOff>190500</xdr:rowOff>
    </xdr:from>
    <xdr:to>
      <xdr:col>12</xdr:col>
      <xdr:colOff>12700</xdr:colOff>
      <xdr:row>44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C19FCC5-B050-0500-D1D8-2245E2C6DC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11800" y="4254500"/>
              <a:ext cx="7797800" cy="4813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10954B-C2FC-F241-8B78-48197B4257D8}" name="Table1" displayName="Table1" ref="A1:D42" totalsRowCount="1">
  <autoFilter ref="A1:D41" xr:uid="{2D10954B-C2FC-F241-8B78-48197B4257D8}"/>
  <tableColumns count="4">
    <tableColumn id="1" xr3:uid="{33A73E37-3876-B246-ABB3-B3B9617CDB16}" name="Experiment" totalsRowLabel="Average"/>
    <tableColumn id="2" xr3:uid="{7CFBB576-7925-2145-B06C-131EF93B10C7}" name="Prompt Tokens" totalsRowFunction="custom">
      <totalsRowFormula>AVERAGE(B2:B41)</totalsRowFormula>
    </tableColumn>
    <tableColumn id="3" xr3:uid="{4F7700BD-61C3-4146-9F3D-9C43B9878043}" name="Completion Tokens" totalsRowFunction="custom">
      <totalsRowFormula>AVERAGE(C2:C41)</totalsRowFormula>
    </tableColumn>
    <tableColumn id="4" xr3:uid="{86206B36-1EFD-634F-B37F-03568E154680}" name="Total Tokens" totalsRowFunction="custom" dataDxfId="1" totalsRowDxfId="0">
      <calculatedColumnFormula xml:space="preserve"> Table1[[#This Row],[Prompt Tokens]] + Table1[[#This Row],[Completion Tokens]]</calculatedColumnFormula>
      <totalsRowFormula>AVERAGE(D2:D41)</totalsRow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839B-5E29-3B48-8CE6-00EC8C0D5435}">
  <dimension ref="A1:D43"/>
  <sheetViews>
    <sheetView tabSelected="1" zoomScale="150" zoomScaleNormal="150" workbookViewId="0">
      <selection activeCell="Q29" sqref="Q29"/>
    </sheetView>
  </sheetViews>
  <sheetFormatPr baseColWidth="10" defaultRowHeight="16" x14ac:dyDescent="0.2"/>
  <cols>
    <col min="1" max="1" width="13" customWidth="1"/>
    <col min="2" max="2" width="15.5" customWidth="1"/>
    <col min="3" max="3" width="18.83203125" customWidth="1"/>
    <col min="4" max="4" width="13.33203125" customWidth="1"/>
    <col min="6" max="6" width="18.5" bestFit="1" customWidth="1"/>
    <col min="7" max="7" width="23.1640625" bestFit="1" customWidth="1"/>
    <col min="8" max="8" width="17.5" bestFit="1" customWidth="1"/>
  </cols>
  <sheetData>
    <row r="1" spans="1:4" x14ac:dyDescent="0.2">
      <c r="A1" t="s">
        <v>0</v>
      </c>
      <c r="B1" t="s">
        <v>2</v>
      </c>
      <c r="C1" t="s">
        <v>1</v>
      </c>
      <c r="D1" t="s">
        <v>3</v>
      </c>
    </row>
    <row r="2" spans="1:4" x14ac:dyDescent="0.2">
      <c r="A2">
        <v>0</v>
      </c>
      <c r="B2">
        <v>3577</v>
      </c>
      <c r="C2">
        <v>2215</v>
      </c>
      <c r="D2">
        <f xml:space="preserve"> Table1[[#This Row],[Prompt Tokens]] + Table1[[#This Row],[Completion Tokens]]</f>
        <v>5792</v>
      </c>
    </row>
    <row r="3" spans="1:4" x14ac:dyDescent="0.2">
      <c r="A3">
        <v>1</v>
      </c>
      <c r="B3">
        <v>3582</v>
      </c>
      <c r="C3">
        <v>5655</v>
      </c>
      <c r="D3">
        <f xml:space="preserve"> Table1[[#This Row],[Prompt Tokens]] + Table1[[#This Row],[Completion Tokens]]</f>
        <v>9237</v>
      </c>
    </row>
    <row r="4" spans="1:4" x14ac:dyDescent="0.2">
      <c r="A4">
        <v>2</v>
      </c>
      <c r="B4">
        <v>3583</v>
      </c>
      <c r="C4">
        <v>2933</v>
      </c>
      <c r="D4">
        <f xml:space="preserve"> Table1[[#This Row],[Prompt Tokens]] + Table1[[#This Row],[Completion Tokens]]</f>
        <v>6516</v>
      </c>
    </row>
    <row r="5" spans="1:4" x14ac:dyDescent="0.2">
      <c r="A5">
        <v>3</v>
      </c>
      <c r="B5">
        <v>3574</v>
      </c>
      <c r="C5">
        <v>2111</v>
      </c>
      <c r="D5">
        <f xml:space="preserve"> Table1[[#This Row],[Prompt Tokens]] + Table1[[#This Row],[Completion Tokens]]</f>
        <v>5685</v>
      </c>
    </row>
    <row r="6" spans="1:4" x14ac:dyDescent="0.2">
      <c r="A6">
        <v>4</v>
      </c>
      <c r="B6">
        <v>3577</v>
      </c>
      <c r="C6">
        <v>2229</v>
      </c>
      <c r="D6">
        <f xml:space="preserve"> Table1[[#This Row],[Prompt Tokens]] + Table1[[#This Row],[Completion Tokens]]</f>
        <v>5806</v>
      </c>
    </row>
    <row r="7" spans="1:4" x14ac:dyDescent="0.2">
      <c r="A7">
        <v>5</v>
      </c>
      <c r="B7">
        <v>3580</v>
      </c>
      <c r="C7">
        <v>2053</v>
      </c>
      <c r="D7">
        <f xml:space="preserve"> Table1[[#This Row],[Prompt Tokens]] + Table1[[#This Row],[Completion Tokens]]</f>
        <v>5633</v>
      </c>
    </row>
    <row r="8" spans="1:4" x14ac:dyDescent="0.2">
      <c r="A8">
        <v>6</v>
      </c>
      <c r="B8">
        <v>3583</v>
      </c>
      <c r="C8">
        <v>1694</v>
      </c>
      <c r="D8">
        <f xml:space="preserve"> Table1[[#This Row],[Prompt Tokens]] + Table1[[#This Row],[Completion Tokens]]</f>
        <v>5277</v>
      </c>
    </row>
    <row r="9" spans="1:4" x14ac:dyDescent="0.2">
      <c r="A9">
        <v>7</v>
      </c>
      <c r="B9">
        <v>3580</v>
      </c>
      <c r="C9">
        <v>4156</v>
      </c>
      <c r="D9">
        <f xml:space="preserve"> Table1[[#This Row],[Prompt Tokens]] + Table1[[#This Row],[Completion Tokens]]</f>
        <v>7736</v>
      </c>
    </row>
    <row r="10" spans="1:4" x14ac:dyDescent="0.2">
      <c r="A10">
        <v>8</v>
      </c>
      <c r="B10">
        <v>3578</v>
      </c>
      <c r="C10">
        <v>2191</v>
      </c>
      <c r="D10">
        <f xml:space="preserve"> Table1[[#This Row],[Prompt Tokens]] + Table1[[#This Row],[Completion Tokens]]</f>
        <v>5769</v>
      </c>
    </row>
    <row r="11" spans="1:4" x14ac:dyDescent="0.2">
      <c r="A11">
        <v>9</v>
      </c>
      <c r="B11">
        <v>3577</v>
      </c>
      <c r="C11">
        <v>2108</v>
      </c>
      <c r="D11">
        <f xml:space="preserve"> Table1[[#This Row],[Prompt Tokens]] + Table1[[#This Row],[Completion Tokens]]</f>
        <v>5685</v>
      </c>
    </row>
    <row r="12" spans="1:4" x14ac:dyDescent="0.2">
      <c r="A12">
        <v>10</v>
      </c>
      <c r="B12">
        <v>3574</v>
      </c>
      <c r="C12">
        <v>2357</v>
      </c>
      <c r="D12">
        <f xml:space="preserve"> Table1[[#This Row],[Prompt Tokens]] + Table1[[#This Row],[Completion Tokens]]</f>
        <v>5931</v>
      </c>
    </row>
    <row r="13" spans="1:4" x14ac:dyDescent="0.2">
      <c r="A13">
        <v>11</v>
      </c>
      <c r="B13">
        <v>3574</v>
      </c>
      <c r="C13">
        <v>3398</v>
      </c>
      <c r="D13">
        <f xml:space="preserve"> Table1[[#This Row],[Prompt Tokens]] + Table1[[#This Row],[Completion Tokens]]</f>
        <v>6972</v>
      </c>
    </row>
    <row r="14" spans="1:4" x14ac:dyDescent="0.2">
      <c r="A14">
        <v>12</v>
      </c>
      <c r="B14">
        <v>3574</v>
      </c>
      <c r="C14">
        <v>2063</v>
      </c>
      <c r="D14">
        <f xml:space="preserve"> Table1[[#This Row],[Prompt Tokens]] + Table1[[#This Row],[Completion Tokens]]</f>
        <v>5637</v>
      </c>
    </row>
    <row r="15" spans="1:4" x14ac:dyDescent="0.2">
      <c r="A15">
        <v>13</v>
      </c>
      <c r="B15">
        <v>3575</v>
      </c>
      <c r="C15">
        <v>4382</v>
      </c>
      <c r="D15">
        <f xml:space="preserve"> Table1[[#This Row],[Prompt Tokens]] + Table1[[#This Row],[Completion Tokens]]</f>
        <v>7957</v>
      </c>
    </row>
    <row r="16" spans="1:4" x14ac:dyDescent="0.2">
      <c r="A16">
        <v>14</v>
      </c>
      <c r="B16">
        <v>3577</v>
      </c>
      <c r="C16">
        <v>1686</v>
      </c>
      <c r="D16">
        <f xml:space="preserve"> Table1[[#This Row],[Prompt Tokens]] + Table1[[#This Row],[Completion Tokens]]</f>
        <v>5263</v>
      </c>
    </row>
    <row r="17" spans="1:4" x14ac:dyDescent="0.2">
      <c r="A17">
        <v>15</v>
      </c>
      <c r="B17">
        <v>3585</v>
      </c>
      <c r="C17">
        <v>2482</v>
      </c>
      <c r="D17">
        <f xml:space="preserve"> Table1[[#This Row],[Prompt Tokens]] + Table1[[#This Row],[Completion Tokens]]</f>
        <v>6067</v>
      </c>
    </row>
    <row r="18" spans="1:4" x14ac:dyDescent="0.2">
      <c r="A18">
        <v>16</v>
      </c>
      <c r="B18">
        <v>3580</v>
      </c>
      <c r="C18">
        <v>2046</v>
      </c>
      <c r="D18">
        <f xml:space="preserve"> Table1[[#This Row],[Prompt Tokens]] + Table1[[#This Row],[Completion Tokens]]</f>
        <v>5626</v>
      </c>
    </row>
    <row r="19" spans="1:4" x14ac:dyDescent="0.2">
      <c r="A19">
        <v>17</v>
      </c>
      <c r="B19">
        <v>3580</v>
      </c>
      <c r="C19">
        <v>2101</v>
      </c>
      <c r="D19">
        <f xml:space="preserve"> Table1[[#This Row],[Prompt Tokens]] + Table1[[#This Row],[Completion Tokens]]</f>
        <v>5681</v>
      </c>
    </row>
    <row r="20" spans="1:4" x14ac:dyDescent="0.2">
      <c r="A20">
        <v>18</v>
      </c>
      <c r="B20">
        <v>3575</v>
      </c>
      <c r="C20">
        <v>2434</v>
      </c>
      <c r="D20">
        <f xml:space="preserve"> Table1[[#This Row],[Prompt Tokens]] + Table1[[#This Row],[Completion Tokens]]</f>
        <v>6009</v>
      </c>
    </row>
    <row r="21" spans="1:4" x14ac:dyDescent="0.2">
      <c r="A21">
        <v>19</v>
      </c>
      <c r="B21">
        <v>3587</v>
      </c>
      <c r="C21">
        <v>2640</v>
      </c>
      <c r="D21">
        <f xml:space="preserve"> Table1[[#This Row],[Prompt Tokens]] + Table1[[#This Row],[Completion Tokens]]</f>
        <v>6227</v>
      </c>
    </row>
    <row r="22" spans="1:4" x14ac:dyDescent="0.2">
      <c r="A22">
        <v>20</v>
      </c>
      <c r="B22">
        <v>3580</v>
      </c>
      <c r="C22">
        <v>2153</v>
      </c>
      <c r="D22">
        <f xml:space="preserve"> Table1[[#This Row],[Prompt Tokens]] + Table1[[#This Row],[Completion Tokens]]</f>
        <v>5733</v>
      </c>
    </row>
    <row r="23" spans="1:4" x14ac:dyDescent="0.2">
      <c r="A23">
        <v>21</v>
      </c>
      <c r="B23">
        <v>3605</v>
      </c>
      <c r="C23">
        <v>2010</v>
      </c>
      <c r="D23">
        <f xml:space="preserve"> Table1[[#This Row],[Prompt Tokens]] + Table1[[#This Row],[Completion Tokens]]</f>
        <v>5615</v>
      </c>
    </row>
    <row r="24" spans="1:4" x14ac:dyDescent="0.2">
      <c r="A24">
        <v>22</v>
      </c>
      <c r="B24">
        <v>3580</v>
      </c>
      <c r="C24">
        <v>2186</v>
      </c>
      <c r="D24">
        <f xml:space="preserve"> Table1[[#This Row],[Prompt Tokens]] + Table1[[#This Row],[Completion Tokens]]</f>
        <v>5766</v>
      </c>
    </row>
    <row r="25" spans="1:4" x14ac:dyDescent="0.2">
      <c r="A25">
        <v>23</v>
      </c>
      <c r="B25">
        <v>3581</v>
      </c>
      <c r="C25">
        <v>2602</v>
      </c>
      <c r="D25">
        <f xml:space="preserve"> Table1[[#This Row],[Prompt Tokens]] + Table1[[#This Row],[Completion Tokens]]</f>
        <v>6183</v>
      </c>
    </row>
    <row r="26" spans="1:4" x14ac:dyDescent="0.2">
      <c r="A26">
        <v>24</v>
      </c>
      <c r="B26">
        <v>3579</v>
      </c>
      <c r="C26">
        <v>2802</v>
      </c>
      <c r="D26">
        <f xml:space="preserve"> Table1[[#This Row],[Prompt Tokens]] + Table1[[#This Row],[Completion Tokens]]</f>
        <v>6381</v>
      </c>
    </row>
    <row r="27" spans="1:4" x14ac:dyDescent="0.2">
      <c r="A27">
        <v>25</v>
      </c>
      <c r="B27">
        <v>3587</v>
      </c>
      <c r="C27">
        <v>1649</v>
      </c>
      <c r="D27">
        <f xml:space="preserve"> Table1[[#This Row],[Prompt Tokens]] + Table1[[#This Row],[Completion Tokens]]</f>
        <v>5236</v>
      </c>
    </row>
    <row r="28" spans="1:4" x14ac:dyDescent="0.2">
      <c r="A28">
        <v>26</v>
      </c>
      <c r="B28">
        <v>3583</v>
      </c>
      <c r="C28">
        <v>2819</v>
      </c>
      <c r="D28">
        <f xml:space="preserve"> Table1[[#This Row],[Prompt Tokens]] + Table1[[#This Row],[Completion Tokens]]</f>
        <v>6402</v>
      </c>
    </row>
    <row r="29" spans="1:4" x14ac:dyDescent="0.2">
      <c r="A29">
        <v>27</v>
      </c>
      <c r="B29">
        <v>3574</v>
      </c>
      <c r="C29">
        <v>1540</v>
      </c>
      <c r="D29">
        <f xml:space="preserve"> Table1[[#This Row],[Prompt Tokens]] + Table1[[#This Row],[Completion Tokens]]</f>
        <v>5114</v>
      </c>
    </row>
    <row r="30" spans="1:4" x14ac:dyDescent="0.2">
      <c r="A30">
        <v>28</v>
      </c>
      <c r="B30">
        <v>3577</v>
      </c>
      <c r="C30">
        <v>2374</v>
      </c>
      <c r="D30">
        <f xml:space="preserve"> Table1[[#This Row],[Prompt Tokens]] + Table1[[#This Row],[Completion Tokens]]</f>
        <v>5951</v>
      </c>
    </row>
    <row r="31" spans="1:4" x14ac:dyDescent="0.2">
      <c r="A31">
        <v>29</v>
      </c>
      <c r="B31">
        <v>3581</v>
      </c>
      <c r="C31">
        <v>3348</v>
      </c>
      <c r="D31">
        <f xml:space="preserve"> Table1[[#This Row],[Prompt Tokens]] + Table1[[#This Row],[Completion Tokens]]</f>
        <v>6929</v>
      </c>
    </row>
    <row r="32" spans="1:4" x14ac:dyDescent="0.2">
      <c r="A32">
        <v>30</v>
      </c>
      <c r="B32">
        <v>3585</v>
      </c>
      <c r="C32">
        <v>3161</v>
      </c>
      <c r="D32">
        <f xml:space="preserve"> Table1[[#This Row],[Prompt Tokens]] + Table1[[#This Row],[Completion Tokens]]</f>
        <v>6746</v>
      </c>
    </row>
    <row r="33" spans="1:4" x14ac:dyDescent="0.2">
      <c r="A33">
        <v>31</v>
      </c>
      <c r="B33">
        <v>3579</v>
      </c>
      <c r="C33">
        <v>2036</v>
      </c>
      <c r="D33">
        <f xml:space="preserve"> Table1[[#This Row],[Prompt Tokens]] + Table1[[#This Row],[Completion Tokens]]</f>
        <v>5615</v>
      </c>
    </row>
    <row r="34" spans="1:4" x14ac:dyDescent="0.2">
      <c r="A34">
        <v>32</v>
      </c>
      <c r="B34">
        <v>3576</v>
      </c>
      <c r="C34">
        <v>2893</v>
      </c>
      <c r="D34">
        <f xml:space="preserve"> Table1[[#This Row],[Prompt Tokens]] + Table1[[#This Row],[Completion Tokens]]</f>
        <v>6469</v>
      </c>
    </row>
    <row r="35" spans="1:4" x14ac:dyDescent="0.2">
      <c r="A35">
        <v>33</v>
      </c>
      <c r="B35">
        <v>3584</v>
      </c>
      <c r="C35">
        <v>1916</v>
      </c>
      <c r="D35">
        <f xml:space="preserve"> Table1[[#This Row],[Prompt Tokens]] + Table1[[#This Row],[Completion Tokens]]</f>
        <v>5500</v>
      </c>
    </row>
    <row r="36" spans="1:4" x14ac:dyDescent="0.2">
      <c r="A36">
        <v>34</v>
      </c>
      <c r="B36">
        <v>3577</v>
      </c>
      <c r="C36">
        <v>2876</v>
      </c>
      <c r="D36">
        <f xml:space="preserve"> Table1[[#This Row],[Prompt Tokens]] + Table1[[#This Row],[Completion Tokens]]</f>
        <v>6453</v>
      </c>
    </row>
    <row r="37" spans="1:4" x14ac:dyDescent="0.2">
      <c r="A37">
        <v>35</v>
      </c>
      <c r="B37">
        <v>3576</v>
      </c>
      <c r="C37">
        <v>2200</v>
      </c>
      <c r="D37">
        <f xml:space="preserve"> Table1[[#This Row],[Prompt Tokens]] + Table1[[#This Row],[Completion Tokens]]</f>
        <v>5776</v>
      </c>
    </row>
    <row r="38" spans="1:4" x14ac:dyDescent="0.2">
      <c r="A38">
        <v>36</v>
      </c>
      <c r="B38">
        <v>3584</v>
      </c>
      <c r="C38">
        <v>2324</v>
      </c>
      <c r="D38">
        <f xml:space="preserve"> Table1[[#This Row],[Prompt Tokens]] + Table1[[#This Row],[Completion Tokens]]</f>
        <v>5908</v>
      </c>
    </row>
    <row r="39" spans="1:4" x14ac:dyDescent="0.2">
      <c r="A39">
        <v>37</v>
      </c>
      <c r="B39">
        <v>3578</v>
      </c>
      <c r="C39">
        <v>2586</v>
      </c>
      <c r="D39">
        <f xml:space="preserve"> Table1[[#This Row],[Prompt Tokens]] + Table1[[#This Row],[Completion Tokens]]</f>
        <v>6164</v>
      </c>
    </row>
    <row r="40" spans="1:4" x14ac:dyDescent="0.2">
      <c r="A40">
        <v>38</v>
      </c>
      <c r="B40">
        <v>3576</v>
      </c>
      <c r="C40">
        <v>2107</v>
      </c>
      <c r="D40">
        <f xml:space="preserve"> Table1[[#This Row],[Prompt Tokens]] + Table1[[#This Row],[Completion Tokens]]</f>
        <v>5683</v>
      </c>
    </row>
    <row r="41" spans="1:4" x14ac:dyDescent="0.2">
      <c r="A41">
        <v>39</v>
      </c>
      <c r="B41">
        <v>3576</v>
      </c>
      <c r="C41">
        <v>2023</v>
      </c>
      <c r="D41">
        <f xml:space="preserve"> Table1[[#This Row],[Prompt Tokens]] + Table1[[#This Row],[Completion Tokens]]</f>
        <v>5599</v>
      </c>
    </row>
    <row r="42" spans="1:4" x14ac:dyDescent="0.2">
      <c r="A42" t="s">
        <v>5</v>
      </c>
      <c r="B42">
        <f>AVERAGE(B2:B41)</f>
        <v>3579.75</v>
      </c>
      <c r="C42">
        <f>AVERAGE(C2:C41)</f>
        <v>2513.4749999999999</v>
      </c>
      <c r="D42" s="1">
        <f>AVERAGE(D2:D41)</f>
        <v>6093.2250000000004</v>
      </c>
    </row>
    <row r="43" spans="1:4" x14ac:dyDescent="0.2">
      <c r="A43" s="2" t="s">
        <v>4</v>
      </c>
      <c r="B43" s="2">
        <f>MEDIAN(B2:B42)</f>
        <v>3579</v>
      </c>
      <c r="C43" s="2">
        <f>MEDIAN(C2:C42)</f>
        <v>2229</v>
      </c>
      <c r="D43" s="2">
        <f>MEDIAN(D2:D42)</f>
        <v>5806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Oliver</dc:creator>
  <cp:lastModifiedBy>Dario Oliver</cp:lastModifiedBy>
  <dcterms:created xsi:type="dcterms:W3CDTF">2026-03-08T17:53:41Z</dcterms:created>
  <dcterms:modified xsi:type="dcterms:W3CDTF">2026-03-08T21:48:54Z</dcterms:modified>
</cp:coreProperties>
</file>